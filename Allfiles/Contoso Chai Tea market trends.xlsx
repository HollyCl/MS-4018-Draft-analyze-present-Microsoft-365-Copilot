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rosoft-my.sharepoint.com/personal/hollycl_microsoft_com/Documents/"/>
    </mc:Choice>
  </mc:AlternateContent>
  <xr:revisionPtr revIDLastSave="207" documentId="8_{E9940EB0-3E9A-4FED-B851-3DB695644D9A}" xr6:coauthVersionLast="47" xr6:coauthVersionMax="47" xr10:uidLastSave="{ECDC31B5-A0A4-4C77-895A-0494684955CC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<sst xmlns="http://schemas.openxmlformats.org/spreadsheetml/2006/main" count="62" uniqueCount="41">
  <si>
    <t>Total Chai Sales (units)</t>
  </si>
  <si>
    <t>Artisanal Chai Sales (units)</t>
  </si>
  <si>
    <t>Premade Chai Sales (units)</t>
  </si>
  <si>
    <t>Social Media Engagement (views)</t>
  </si>
  <si>
    <t>Online Searches for Chai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</si>
  <si>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</si>
  <si>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</si>
  <si>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</si>
  <si>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</si>
  <si>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</si>
  <si>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</si>
  <si>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</si>
  <si>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</si>
  <si>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</si>
  <si>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</si>
  <si>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</si>
  <si>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</si>
  <si>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</si>
  <si>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Artisanal Share</t>
  </si>
  <si>
    <t>Premade Share</t>
  </si>
  <si>
    <t>MoM % (Total)</t>
  </si>
  <si>
    <t>Pattern Notes</t>
  </si>
  <si>
    <t>–</t>
  </si>
  <si>
    <t>–46</t>
  </si>
  <si>
    <t>–0.158</t>
  </si>
  <si>
    <t>–59.9</t>
  </si>
  <si>
    <t>Negative Premade value (verify)</t>
  </si>
  <si>
    <t>–7.7</t>
  </si>
  <si>
    <t>Searches outlier (low)</t>
  </si>
  <si>
    <t>–6.5</t>
  </si>
  <si>
    <t>Peak searches; Searches outlier (high)</t>
  </si>
  <si>
    <t>–43.1</t>
  </si>
  <si>
    <t>Peak engagement; Engagement outlier (high)</t>
  </si>
  <si>
    <t>–76.3</t>
  </si>
  <si>
    <t>Lowest total sales; Total sales outlier (low)</t>
  </si>
  <si>
    <t>Peak total sales</t>
  </si>
  <si>
    <t>Quarter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</si>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</sst>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9">
    <dxf>
      <numFmt numFmtId="19" formatCode="m/d/yyyy"/>
    </dxf>
    <dxf>
      <numFmt numFmtId="19" formatCode="m/d/yyyy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228600</xdr:colOff>
      <xdr:row>14</xdr:row>
      <xdr:rowOff>7131</xdr:rowOff>
    </xdr:to>
    <xdr:pic>
      <xdr:nvPicPr>
        <xdr:cNvPr id="2" name="Picture 1" title="Image">
          <a:extLst>
            <a:ext uri="{FF2B5EF4-FFF2-40B4-BE49-F238E27FC236}">
              <a16:creationId xmlns:a16="http://schemas.microsoft.com/office/drawing/2014/main" id="{D83F203F-9AEB-4F10-C73B-CCAD032C3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0" cy="2674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228600</xdr:colOff>
      <xdr:row>12</xdr:row>
      <xdr:rowOff>143639</xdr:rowOff>
    </xdr:to>
    <xdr:pic>
      <xdr:nvPicPr>
        <xdr:cNvPr id="2" name="Picture 1" title="Image">
          <a:extLst>
            <a:ext uri="{FF2B5EF4-FFF2-40B4-BE49-F238E27FC236}">
              <a16:creationId xmlns:a16="http://schemas.microsoft.com/office/drawing/2014/main" id="{725FD58D-E560-F7C5-4211-B595C9539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0" cy="242963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E8BEAE-8A12-499A-8901-FF2A3BC6FCA5}" name="Table1" displayName="Table1" ref="A1:F14" totalsRowCount="1" headerRowDxfId="8" headerRowBorderDxfId="7" tableBorderDxfId="6">
  <autoFilter ref="A1:F13" xr:uid="{1CE8BEAE-8A12-499A-8901-FF2A3BC6FCA5}"/>
  <tableColumns count="6">
    <tableColumn id="1" xr3:uid="{2296BE30-301E-4EF2-95CF-F0BE896BB528}" name="Month" dataDxfId="1" totalsRowDxfId="0"/>
    <tableColumn id="2" xr3:uid="{8B57F1F3-5DDD-45B5-B113-D6F8CB97F466}" name="Total Chai Sales (units)"/>
    <tableColumn id="3" xr3:uid="{309F5893-C2A7-45AA-8E9B-0A3B5DAEA895}" name="Artisanal Chai Sales (units)" totalsRowFunction="custom">
      <totalsRowFormula>SUM(C5:C7)</totalsRowFormula>
    </tableColumn>
    <tableColumn id="4" xr3:uid="{D89A811E-F659-4160-AB40-E17EB19BA36B}" name="Premade Chai Sales (units)"/>
    <tableColumn id="5" xr3:uid="{82C0F813-3BD0-49CB-A2A3-36E151719EB4}" name="Social Media Engagement (views)"/>
    <tableColumn id="6" xr3:uid="{A3C0D17F-E295-4150-A376-1E07DDE71BDA}" name="Online Searches for Chai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939C99-8EB5-418D-AEC8-F856938BF6F8}" name="Table2" displayName="Table2" ref="A1:J13" totalsRowShown="0">
  <autoFilter ref="A1:J13" xr:uid="{38939C99-8EB5-418D-AEC8-F856938BF6F8}"/>
  <tableColumns count="10">
    <tableColumn id="1" xr3:uid="{A44C347E-9B99-47DC-8E23-EBA3C49E8EDD}" name="Month"/>
    <tableColumn id="2" xr3:uid="{515394A7-C7A0-43C6-982A-87151C6D52D4}" name="Total Chai Sales (units)"/>
    <tableColumn id="3" xr3:uid="{A6939AFF-C1A7-42EB-94FD-64AE96C451D7}" name="Artisanal Chai Sales (units)"/>
    <tableColumn id="4" xr3:uid="{0AFD97FE-11CB-4338-ABA4-5A09AE551A30}" name="Premade Chai Sales (units)"/>
    <tableColumn id="5" xr3:uid="{01B34E22-7489-4CAF-A3D1-28EF9FC7CFC0}" name="Artisanal Share"/>
    <tableColumn id="6" xr3:uid="{9041698C-198D-48E6-A051-7B8C266EB8DA}" name="Premade Share"/>
    <tableColumn id="7" xr3:uid="{0E38F97D-E61C-41AE-9E93-2CE4556BBF85}" name="MoM % (Total)"/>
    <tableColumn id="8" xr3:uid="{364D2900-E53F-43A1-AAA3-0F8D413883A2}" name="Social Media Engagement (views)" dataDxfId="5"/>
    <tableColumn id="9" xr3:uid="{FC0E82A5-D0A9-41C9-B606-2F3A8BE93F41}" name="Online Searches for Chai" dataDxfId="4"/>
    <tableColumn id="10" xr3:uid="{F95FF28D-E660-453A-B9B4-BF3ECC3A7E36}" name="Pattern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9885CC-5381-4E48-82EA-FA76BEC5E736}" name="Table3" displayName="Table3" ref="A1:D5" totalsRowShown="0">
  <autoFilter ref="A1:D5" xr:uid="{E19885CC-5381-4E48-82EA-FA76BEC5E736}"/>
  <tableColumns count="4">
    <tableColumn id="1" xr3:uid="{0CBDDFD6-8123-49C4-BFEF-31F2EBD9CB6D}" name="Quarter"/>
    <tableColumn id="2" xr3:uid="{081ACC47-50C9-4E6F-B765-33E7052DB9F2}" name="Artisanal Chai Sales (units)" dataDxfId="3"/>
    <tableColumn id="3" xr3:uid="{79E74C0C-CA3C-4D48-B2E3-D4003FF92B12}" name="Premade Chai Sales (units)"/>
    <tableColumn id="4" xr3:uid="{58238AFD-C2CA-4F25-99B6-03FF9C99C60F}" name="Total Chai Sales (units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C15" sqref="C15"/>
    </sheetView>
  </sheetViews>
  <sheetFormatPr defaultRowHeight="15" x14ac:dyDescent="0.25"/>
  <cols>
    <col min="1" max="1" width="13.28515625" customWidth="1"/>
    <col min="2" max="2" width="16.5703125" customWidth="1"/>
    <col min="3" max="3" width="17.85546875" customWidth="1"/>
    <col min="4" max="4" width="19.5703125" customWidth="1"/>
    <col min="5" max="5" width="24.85546875" customWidth="1"/>
    <col min="6" max="6" width="14.5703125" customWidth="1"/>
  </cols>
  <sheetData>
    <row r="1" spans="1:6" ht="45" x14ac:dyDescent="0.25">
      <c r="A1" s="2" t="s">
        <v>17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5">
      <c r="A2" s="1" t="s">
        <v>5</v>
      </c>
      <c r="B2">
        <f t="shared" ref="B2:B13" si="0">SUM(C2+D2)</f>
        <v>659</v>
      </c>
      <c r="C2">
        <v>448</v>
      </c>
      <c r="D2">
        <v>211</v>
      </c>
      <c r="E2">
        <v>6874</v>
      </c>
      <c r="F2">
        <v>2663</v>
      </c>
    </row>
    <row r="3" spans="1:6" x14ac:dyDescent="0.25">
      <c r="A3" s="1" t="s">
        <v>6</v>
      </c>
      <c r="B3">
        <f t="shared" si="0"/>
        <v>729</v>
      </c>
      <c r="C3">
        <v>473</v>
      </c>
      <c r="D3">
        <v>256</v>
      </c>
      <c r="E3">
        <v>7744</v>
      </c>
      <c r="F3">
        <v>2546</v>
      </c>
    </row>
    <row r="4" spans="1:6" x14ac:dyDescent="0.25">
      <c r="A4" s="1" t="s">
        <v>7</v>
      </c>
      <c r="B4">
        <f t="shared" si="0"/>
        <v>292</v>
      </c>
      <c r="C4">
        <v>338</v>
      </c>
      <c r="D4">
        <v>-46</v>
      </c>
      <c r="E4">
        <v>4468</v>
      </c>
      <c r="F4">
        <v>2371</v>
      </c>
    </row>
    <row r="5" spans="1:6" x14ac:dyDescent="0.25">
      <c r="A5" s="1" t="s">
        <v>8</v>
      </c>
      <c r="B5">
        <f t="shared" si="0"/>
        <v>935</v>
      </c>
      <c r="C5">
        <v>499</v>
      </c>
      <c r="D5">
        <v>436</v>
      </c>
      <c r="E5">
        <v>1705</v>
      </c>
      <c r="F5">
        <v>2996</v>
      </c>
    </row>
    <row r="6" spans="1:6" x14ac:dyDescent="0.25">
      <c r="A6" s="1" t="s">
        <v>9</v>
      </c>
      <c r="B6">
        <f t="shared" si="0"/>
        <v>863</v>
      </c>
      <c r="C6">
        <v>315</v>
      </c>
      <c r="D6">
        <v>548</v>
      </c>
      <c r="E6">
        <v>3599</v>
      </c>
      <c r="F6">
        <v>599</v>
      </c>
    </row>
    <row r="7" spans="1:6" x14ac:dyDescent="0.25">
      <c r="A7" s="1" t="s">
        <v>10</v>
      </c>
      <c r="B7">
        <f t="shared" si="0"/>
        <v>807</v>
      </c>
      <c r="C7">
        <v>235</v>
      </c>
      <c r="D7">
        <v>572</v>
      </c>
      <c r="E7">
        <v>9666</v>
      </c>
      <c r="F7">
        <v>5016</v>
      </c>
    </row>
    <row r="8" spans="1:6" x14ac:dyDescent="0.25">
      <c r="A8" s="1" t="s">
        <v>11</v>
      </c>
      <c r="B8">
        <f t="shared" si="0"/>
        <v>459</v>
      </c>
      <c r="C8">
        <v>177</v>
      </c>
      <c r="D8">
        <v>282</v>
      </c>
      <c r="E8">
        <v>26304</v>
      </c>
      <c r="F8">
        <v>2510</v>
      </c>
    </row>
    <row r="9" spans="1:6" x14ac:dyDescent="0.25">
      <c r="A9" s="1" t="s">
        <v>12</v>
      </c>
      <c r="B9">
        <f t="shared" si="0"/>
        <v>109</v>
      </c>
      <c r="C9">
        <v>82</v>
      </c>
      <c r="D9">
        <v>27</v>
      </c>
      <c r="E9">
        <v>11691</v>
      </c>
      <c r="F9">
        <v>2594</v>
      </c>
    </row>
    <row r="10" spans="1:6" x14ac:dyDescent="0.25">
      <c r="A10" s="1" t="s">
        <v>13</v>
      </c>
      <c r="B10">
        <f t="shared" si="0"/>
        <v>586</v>
      </c>
      <c r="C10">
        <v>388</v>
      </c>
      <c r="D10">
        <v>198</v>
      </c>
      <c r="E10">
        <v>6230</v>
      </c>
      <c r="F10">
        <v>2784</v>
      </c>
    </row>
    <row r="11" spans="1:6" x14ac:dyDescent="0.25">
      <c r="A11" s="1" t="s">
        <v>14</v>
      </c>
      <c r="B11">
        <f t="shared" si="0"/>
        <v>659</v>
      </c>
      <c r="C11">
        <v>448</v>
      </c>
      <c r="D11">
        <v>211</v>
      </c>
      <c r="E11">
        <v>6874</v>
      </c>
      <c r="F11">
        <v>2663</v>
      </c>
    </row>
    <row r="12" spans="1:6" x14ac:dyDescent="0.25">
      <c r="A12" s="1" t="s">
        <v>15</v>
      </c>
      <c r="B12">
        <f t="shared" si="0"/>
        <v>729</v>
      </c>
      <c r="C12">
        <v>473</v>
      </c>
      <c r="D12">
        <v>256</v>
      </c>
      <c r="E12">
        <v>7744</v>
      </c>
      <c r="F12">
        <v>2546</v>
      </c>
    </row>
    <row r="13" spans="1:6" x14ac:dyDescent="0.25">
      <c r="A13" s="1" t="s">
        <v>16</v>
      </c>
      <c r="B13">
        <f t="shared" si="0"/>
        <v>1117</v>
      </c>
      <c r="C13">
        <v>690</v>
      </c>
      <c r="D13">
        <v>427</v>
      </c>
      <c r="E13">
        <v>8312</v>
      </c>
      <c r="F13">
        <v>2987</v>
      </c>
    </row>
    <row r="14" spans="1:6" x14ac:dyDescent="0.25">
      <c r="A14" s="1"/>
      <c r="C14">
        <f>SUM(C5:C7)</f>
        <v>1049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5B661-E67F-4693-A83C-6AA46F5FC391}">
  <dimension ref="A1:J13"/>
  <sheetViews>
    <sheetView workbookViewId="0"/>
  </sheetViews>
  <sheetFormatPr defaultRowHeight="15" x14ac:dyDescent="0.25"/>
  <cols>
    <col min="2" max="2" width="23.140625" customWidth="1"/>
    <col min="3" max="3" width="26.5703125" customWidth="1"/>
    <col min="4" max="4" width="26.7109375" customWidth="1"/>
    <col min="5" max="5" width="16.42578125" customWidth="1"/>
    <col min="6" max="6" width="16.5703125" customWidth="1"/>
    <col min="7" max="7" width="16.28515625" customWidth="1"/>
    <col min="8" max="8" width="32.85546875" customWidth="1"/>
    <col min="9" max="9" width="24.7109375" customWidth="1"/>
    <col min="10" max="10" width="15.42578125" customWidth="1"/>
  </cols>
  <sheetData>
    <row r="1" spans="1:10" x14ac:dyDescent="0.25">
      <c r="A1" t="s">
        <v>17</v>
      </c>
      <c r="B1" t="s">
        <v>0</v>
      </c>
      <c r="C1" t="s">
        <v>1</v>
      </c>
      <c r="D1" t="s">
        <v>2</v>
      </c>
      <c r="E1" t="s">
        <v>18</v>
      </c>
      <c r="F1" t="s">
        <v>19</v>
      </c>
      <c r="G1" t="s">
        <v>20</v>
      </c>
      <c r="H1" t="s">
        <v>3</v>
      </c>
      <c r="I1" t="s">
        <v>4</v>
      </c>
      <c r="J1" t="s">
        <v>21</v>
      </c>
    </row>
    <row r="2" spans="1:10" x14ac:dyDescent="0.25">
      <c r="A2" t="s">
        <v>5</v>
      </c>
      <c r="B2">
        <v>659</v>
      </c>
      <c r="C2">
        <v>448</v>
      </c>
      <c r="D2">
        <v>211</v>
      </c>
      <c r="E2">
        <v>0.68</v>
      </c>
      <c r="F2">
        <v>0.32</v>
      </c>
      <c r="G2" t="s">
        <v>22</v>
      </c>
      <c r="H2" s="3">
        <v>6874</v>
      </c>
      <c r="I2" s="3">
        <v>2663</v>
      </c>
    </row>
    <row r="3" spans="1:10" x14ac:dyDescent="0.25">
      <c r="A3" t="s">
        <v>6</v>
      </c>
      <c r="B3">
        <v>729</v>
      </c>
      <c r="C3">
        <v>473</v>
      </c>
      <c r="D3">
        <v>256</v>
      </c>
      <c r="E3">
        <v>0.64900000000000002</v>
      </c>
      <c r="F3">
        <v>0.35099999999999998</v>
      </c>
      <c r="G3">
        <v>10.6</v>
      </c>
      <c r="H3" s="3">
        <v>7744</v>
      </c>
      <c r="I3" s="3">
        <v>2546</v>
      </c>
    </row>
    <row r="4" spans="1:10" x14ac:dyDescent="0.25">
      <c r="A4" t="s">
        <v>7</v>
      </c>
      <c r="B4">
        <v>292</v>
      </c>
      <c r="C4">
        <v>338</v>
      </c>
      <c r="D4" t="s">
        <v>23</v>
      </c>
      <c r="E4">
        <v>1.1579999999999999</v>
      </c>
      <c r="F4" t="s">
        <v>24</v>
      </c>
      <c r="G4" t="s">
        <v>25</v>
      </c>
      <c r="H4" s="3">
        <v>4468</v>
      </c>
      <c r="I4" s="3">
        <v>2371</v>
      </c>
      <c r="J4" s="4" t="s">
        <v>26</v>
      </c>
    </row>
    <row r="5" spans="1:10" x14ac:dyDescent="0.25">
      <c r="A5" t="s">
        <v>8</v>
      </c>
      <c r="B5">
        <v>935</v>
      </c>
      <c r="C5">
        <v>499</v>
      </c>
      <c r="D5">
        <v>436</v>
      </c>
      <c r="E5">
        <v>0.53400000000000003</v>
      </c>
      <c r="F5">
        <v>0.46600000000000003</v>
      </c>
      <c r="G5">
        <v>220.2</v>
      </c>
      <c r="H5" s="3">
        <v>1705</v>
      </c>
      <c r="I5" s="3">
        <v>2996</v>
      </c>
    </row>
    <row r="6" spans="1:10" x14ac:dyDescent="0.25">
      <c r="A6" t="s">
        <v>9</v>
      </c>
      <c r="B6">
        <v>863</v>
      </c>
      <c r="C6">
        <v>315</v>
      </c>
      <c r="D6">
        <v>548</v>
      </c>
      <c r="E6">
        <v>0.36499999999999999</v>
      </c>
      <c r="F6">
        <v>0.63500000000000001</v>
      </c>
      <c r="G6" t="s">
        <v>27</v>
      </c>
      <c r="H6" s="3">
        <v>3599</v>
      </c>
      <c r="I6" s="4">
        <v>599</v>
      </c>
      <c r="J6" s="4" t="s">
        <v>28</v>
      </c>
    </row>
    <row r="7" spans="1:10" x14ac:dyDescent="0.25">
      <c r="A7" t="s">
        <v>10</v>
      </c>
      <c r="B7">
        <v>807</v>
      </c>
      <c r="C7">
        <v>235</v>
      </c>
      <c r="D7">
        <v>572</v>
      </c>
      <c r="E7">
        <v>0.29099999999999998</v>
      </c>
      <c r="F7">
        <v>0.70899999999999996</v>
      </c>
      <c r="G7" t="s">
        <v>29</v>
      </c>
      <c r="H7" s="3">
        <v>9666</v>
      </c>
      <c r="I7" s="5">
        <v>5016</v>
      </c>
      <c r="J7" s="4" t="s">
        <v>30</v>
      </c>
    </row>
    <row r="8" spans="1:10" x14ac:dyDescent="0.25">
      <c r="A8" t="s">
        <v>11</v>
      </c>
      <c r="B8">
        <v>459</v>
      </c>
      <c r="C8">
        <v>177</v>
      </c>
      <c r="D8">
        <v>282</v>
      </c>
      <c r="E8">
        <v>0.38600000000000001</v>
      </c>
      <c r="F8">
        <v>0.61399999999999999</v>
      </c>
      <c r="G8" t="s">
        <v>31</v>
      </c>
      <c r="H8" s="5">
        <v>26304</v>
      </c>
      <c r="I8" s="3">
        <v>2510</v>
      </c>
      <c r="J8" s="4" t="s">
        <v>32</v>
      </c>
    </row>
    <row r="9" spans="1:10" x14ac:dyDescent="0.25">
      <c r="A9" t="s">
        <v>12</v>
      </c>
      <c r="B9" s="4">
        <v>109</v>
      </c>
      <c r="C9">
        <v>82</v>
      </c>
      <c r="D9">
        <v>27</v>
      </c>
      <c r="E9">
        <v>0.752</v>
      </c>
      <c r="F9">
        <v>0.248</v>
      </c>
      <c r="G9" t="s">
        <v>33</v>
      </c>
      <c r="H9" s="3">
        <v>11691</v>
      </c>
      <c r="I9" s="3">
        <v>2594</v>
      </c>
      <c r="J9" s="4" t="s">
        <v>34</v>
      </c>
    </row>
    <row r="10" spans="1:10" x14ac:dyDescent="0.25">
      <c r="A10" t="s">
        <v>13</v>
      </c>
      <c r="B10">
        <v>586</v>
      </c>
      <c r="C10">
        <v>388</v>
      </c>
      <c r="D10">
        <v>198</v>
      </c>
      <c r="E10">
        <v>0.66200000000000003</v>
      </c>
      <c r="F10">
        <v>0.33800000000000002</v>
      </c>
      <c r="G10">
        <v>437.6</v>
      </c>
      <c r="H10" s="3">
        <v>6230</v>
      </c>
      <c r="I10" s="3">
        <v>2784</v>
      </c>
    </row>
    <row r="11" spans="1:10" x14ac:dyDescent="0.25">
      <c r="A11" t="s">
        <v>14</v>
      </c>
      <c r="B11">
        <v>659</v>
      </c>
      <c r="C11">
        <v>448</v>
      </c>
      <c r="D11">
        <v>211</v>
      </c>
      <c r="E11">
        <v>0.68</v>
      </c>
      <c r="F11">
        <v>0.32</v>
      </c>
      <c r="G11">
        <v>12.5</v>
      </c>
      <c r="H11" s="3">
        <v>6874</v>
      </c>
      <c r="I11" s="3">
        <v>2663</v>
      </c>
    </row>
    <row r="12" spans="1:10" x14ac:dyDescent="0.25">
      <c r="A12" t="s">
        <v>15</v>
      </c>
      <c r="B12">
        <v>729</v>
      </c>
      <c r="C12">
        <v>473</v>
      </c>
      <c r="D12">
        <v>256</v>
      </c>
      <c r="E12">
        <v>0.64900000000000002</v>
      </c>
      <c r="F12">
        <v>0.35099999999999998</v>
      </c>
      <c r="G12">
        <v>10.6</v>
      </c>
      <c r="H12" s="3">
        <v>7744</v>
      </c>
      <c r="I12" s="3">
        <v>2546</v>
      </c>
    </row>
    <row r="13" spans="1:10" x14ac:dyDescent="0.25">
      <c r="A13" t="s">
        <v>16</v>
      </c>
      <c r="B13" s="5">
        <v>1117</v>
      </c>
      <c r="C13" s="4">
        <v>690</v>
      </c>
      <c r="D13" s="4">
        <v>427</v>
      </c>
      <c r="E13">
        <v>0.61799999999999999</v>
      </c>
      <c r="F13">
        <v>0.38200000000000001</v>
      </c>
      <c r="G13">
        <v>53.2</v>
      </c>
      <c r="H13" s="3">
        <v>8312</v>
      </c>
      <c r="I13" s="3">
        <v>2987</v>
      </c>
      <c r="J13" s="4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3C5A-F7F7-4322-B2AF-1E4052829D43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FECEF-91B0-419B-A20D-1C58637577EF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EAD87-FC5F-465D-A72A-52284D020A3C}">
  <dimension ref="A1:D5"/>
  <sheetViews>
    <sheetView workbookViewId="0"/>
  </sheetViews>
  <sheetFormatPr defaultRowHeight="15" x14ac:dyDescent="0.25"/>
  <cols>
    <col min="1" max="1" width="10" customWidth="1"/>
    <col min="2" max="2" width="26.5703125" customWidth="1"/>
    <col min="3" max="3" width="26.7109375" customWidth="1"/>
    <col min="4" max="4" width="23.140625" customWidth="1"/>
  </cols>
  <sheetData>
    <row r="1" spans="1:4" x14ac:dyDescent="0.25">
      <c r="A1" t="s">
        <v>36</v>
      </c>
      <c r="B1" t="s">
        <v>1</v>
      </c>
      <c r="C1" t="s">
        <v>2</v>
      </c>
      <c r="D1" t="s">
        <v>0</v>
      </c>
    </row>
    <row r="2" spans="1:4" x14ac:dyDescent="0.25">
      <c r="A2" t="s">
        <v>37</v>
      </c>
      <c r="B2" s="3">
        <v>1259</v>
      </c>
      <c r="C2">
        <v>421</v>
      </c>
      <c r="D2" s="3">
        <v>1680</v>
      </c>
    </row>
    <row r="3" spans="1:4" x14ac:dyDescent="0.25">
      <c r="A3" t="s">
        <v>38</v>
      </c>
      <c r="B3" s="3">
        <v>1049</v>
      </c>
      <c r="C3" s="3">
        <v>1556</v>
      </c>
      <c r="D3" s="3">
        <v>2605</v>
      </c>
    </row>
    <row r="4" spans="1:4" x14ac:dyDescent="0.25">
      <c r="A4" t="s">
        <v>39</v>
      </c>
      <c r="B4">
        <v>647</v>
      </c>
      <c r="C4">
        <v>507</v>
      </c>
      <c r="D4" s="3">
        <v>1154</v>
      </c>
    </row>
    <row r="5" spans="1:4" x14ac:dyDescent="0.25">
      <c r="A5" t="s">
        <v>40</v>
      </c>
      <c r="B5" s="3">
        <v>1611</v>
      </c>
      <c r="C5">
        <v>894</v>
      </c>
      <c r="D5" s="3">
        <v>2505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 Quinlan</dc:creator>
  <cp:keywords/>
  <dc:description/>
  <cp:lastModifiedBy>Holly Claypool</cp:lastModifiedBy>
  <cp:revision/>
  <dcterms:created xsi:type="dcterms:W3CDTF">2023-12-14T18:06:20Z</dcterms:created>
  <dcterms:modified xsi:type="dcterms:W3CDTF">2025-11-18T14:52:30Z</dcterms:modified>
  <cp:category/>
  <cp:contentStatus/>
</cp:coreProperties>
</file>